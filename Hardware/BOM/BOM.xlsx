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youss\Downloads\youssefsaeed11004@gmail.com\Power_Supply\Hardware\BOM\"/>
    </mc:Choice>
  </mc:AlternateContent>
  <xr:revisionPtr revIDLastSave="0" documentId="13_ncr:1_{60A8ACFE-85CC-4BC3-833B-7129F9B9E9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wer Supply B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3" i="1"/>
  <c r="E11" i="1"/>
  <c r="E9" i="1"/>
  <c r="E2" i="1"/>
  <c r="E6" i="1"/>
  <c r="E3" i="1"/>
  <c r="E4" i="1"/>
  <c r="E5" i="1"/>
  <c r="E7" i="1"/>
  <c r="E8" i="1"/>
  <c r="E10" i="1"/>
  <c r="E14" i="1"/>
  <c r="E15" i="1" l="1"/>
</calcChain>
</file>

<file path=xl/sharedStrings.xml><?xml version="1.0" encoding="utf-8"?>
<sst xmlns="http://schemas.openxmlformats.org/spreadsheetml/2006/main" count="31" uniqueCount="19">
  <si>
    <t>Component</t>
  </si>
  <si>
    <t>Quantity</t>
  </si>
  <si>
    <t>Makers Link</t>
  </si>
  <si>
    <t>PC ATX Power Supply</t>
  </si>
  <si>
    <t>XL4015 DC-DC Step-Down Module</t>
  </si>
  <si>
    <t>DSN-VC288 Dual Display</t>
  </si>
  <si>
    <t>10K Potentiometer</t>
  </si>
  <si>
    <t>Banana Plugs (Red/Black)</t>
  </si>
  <si>
    <t>Rocker Switch</t>
  </si>
  <si>
    <t>Enclosure</t>
  </si>
  <si>
    <t>Price</t>
  </si>
  <si>
    <t>Total</t>
  </si>
  <si>
    <t>AC Power Socket 3 Pin Male Plug Connector</t>
  </si>
  <si>
    <t xml:space="preserve"> Power Cable Male</t>
  </si>
  <si>
    <t>Power Resistor 7W 0.1Ω</t>
  </si>
  <si>
    <t>Glass Fuse 3.15A 250V</t>
  </si>
  <si>
    <t>Fuse Holder Wire 250V 10A R3-11</t>
  </si>
  <si>
    <r>
      <t>Potentiometer Knob (</t>
    </r>
    <r>
      <rPr>
        <b/>
        <sz val="11"/>
        <color theme="1"/>
        <rFont val="Symbol"/>
        <family val="1"/>
        <charset val="2"/>
      </rPr>
      <t xml:space="preserve">6´13´17) </t>
    </r>
    <r>
      <rPr>
        <b/>
        <sz val="11"/>
        <color theme="1"/>
        <rFont val="Calibri"/>
        <family val="2"/>
        <scheme val="minor"/>
      </rPr>
      <t>mm</t>
    </r>
  </si>
  <si>
    <t>Makers Link (Hyperlink)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</si>
</sst>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Symbol"/>
      <family val="1"/>
      <charset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1" applyFont="1" applyFill="1" applyBorder="1" applyAlignment="1">
      <alignment horizontal="center"/>
    </xf>
    <xf numFmtId="0" fontId="1" fillId="0" borderId="0" xfId="1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akerselectronics.com/product/power-resistor-7w-0-1%cf%89/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makerselectronics.com/product/potentiometer-knob-cap-for-6mm-shaft/" TargetMode="External"/><Relationship Id="rId7" Type="http://schemas.openxmlformats.org/officeDocument/2006/relationships/hyperlink" Target="https://makerselectronics.com/product/grey-3-core-power-cable-10a-1-2meter/" TargetMode="External"/><Relationship Id="rId12" Type="http://schemas.openxmlformats.org/officeDocument/2006/relationships/hyperlink" Target="https://makerselectronics.com/product/xl4015-adjustable-dc-dc-step-down-module-with-display-5a-75w/?srsltid=AfmBOopcT5EUynpfXCW7Vcbg4nUt1HHC1hk2Iwluq_jQF9qI9uqpqLZx" TargetMode="External"/><Relationship Id="rId2" Type="http://schemas.openxmlformats.org/officeDocument/2006/relationships/hyperlink" Target="https://makerselectronics.com/product/metal-potentiometer-10k%cf%89-3-pin/" TargetMode="External"/><Relationship Id="rId1" Type="http://schemas.openxmlformats.org/officeDocument/2006/relationships/hyperlink" Target="https://makerselectronics.com/product/dc-0-100v-10a-digital-voltmeter-and/" TargetMode="External"/><Relationship Id="rId6" Type="http://schemas.openxmlformats.org/officeDocument/2006/relationships/hyperlink" Target="https://makerselectronics.com/product/acbel-36200087-pc8061-psu-power-supply-180w-used-like-new/" TargetMode="External"/><Relationship Id="rId11" Type="http://schemas.openxmlformats.org/officeDocument/2006/relationships/hyperlink" Target="https://makerselectronics.com/product/fuse-holder-wire-250v-10a/" TargetMode="External"/><Relationship Id="rId5" Type="http://schemas.openxmlformats.org/officeDocument/2006/relationships/hyperlink" Target="https://makerselectronics.com/product/banana-plug-female-30a-4mm/" TargetMode="External"/><Relationship Id="rId10" Type="http://schemas.openxmlformats.org/officeDocument/2006/relationships/hyperlink" Target="https://makerselectronics.com/product/glass-fuse-3-15a-250v-t5x20mm/" TargetMode="External"/><Relationship Id="rId4" Type="http://schemas.openxmlformats.org/officeDocument/2006/relationships/hyperlink" Target="https://makerselectronics.com/product/kcd1-11-on-off-black-switch-2-pins/" TargetMode="External"/><Relationship Id="rId9" Type="http://schemas.openxmlformats.org/officeDocument/2006/relationships/hyperlink" Target="https://makerselectronics.com/product/socket-3-pin-male-connector-10a-250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zoomScale="145" zoomScaleNormal="145" workbookViewId="0">
      <selection activeCell="E15" sqref="A1:E15"/>
    </sheetView>
  </sheetViews>
  <sheetFormatPr defaultRowHeight="14.4" x14ac:dyDescent="0.3"/>
  <cols>
    <col min="1" max="1" width="42.33203125" customWidth="1"/>
    <col min="2" max="2" width="12.44140625" customWidth="1"/>
    <col min="3" max="3" width="36.6640625" customWidth="1"/>
  </cols>
  <sheetData>
    <row r="1" spans="1:5" s="1" customFormat="1" x14ac:dyDescent="0.3">
      <c r="A1" s="5" t="s">
        <v>0</v>
      </c>
      <c r="B1" s="5" t="s">
        <v>1</v>
      </c>
      <c r="C1" s="5" t="s">
        <v>18</v>
      </c>
      <c r="D1" s="5" t="s">
        <v>10</v>
      </c>
      <c r="E1" s="5" t="s">
        <v>11</v>
      </c>
    </row>
    <row r="2" spans="1:5" x14ac:dyDescent="0.3">
      <c r="A2" s="5" t="s">
        <v>3</v>
      </c>
      <c r="B2" s="2">
        <v>1</v>
      </c>
      <c r="C2" s="3" t="s">
        <v>2</v>
      </c>
      <c r="D2" s="2">
        <v>900</v>
      </c>
      <c r="E2" s="2">
        <f t="shared" ref="E2:E12" si="0">B2*D2</f>
        <v>900</v>
      </c>
    </row>
    <row r="3" spans="1:5" x14ac:dyDescent="0.3">
      <c r="A3" s="5" t="s">
        <v>4</v>
      </c>
      <c r="B3" s="2">
        <v>1</v>
      </c>
      <c r="C3" s="4" t="s">
        <v>2</v>
      </c>
      <c r="D3" s="2">
        <v>120</v>
      </c>
      <c r="E3" s="2">
        <f t="shared" si="0"/>
        <v>120</v>
      </c>
    </row>
    <row r="4" spans="1:5" x14ac:dyDescent="0.3">
      <c r="A4" s="5" t="s">
        <v>5</v>
      </c>
      <c r="B4" s="2">
        <v>1</v>
      </c>
      <c r="C4" s="3" t="s">
        <v>2</v>
      </c>
      <c r="D4" s="2">
        <v>100</v>
      </c>
      <c r="E4" s="2">
        <f t="shared" si="0"/>
        <v>100</v>
      </c>
    </row>
    <row r="5" spans="1:5" x14ac:dyDescent="0.3">
      <c r="A5" s="5" t="s">
        <v>6</v>
      </c>
      <c r="B5" s="2">
        <v>3</v>
      </c>
      <c r="C5" s="3" t="s">
        <v>2</v>
      </c>
      <c r="D5" s="2">
        <v>5.5</v>
      </c>
      <c r="E5" s="2">
        <f t="shared" si="0"/>
        <v>16.5</v>
      </c>
    </row>
    <row r="6" spans="1:5" x14ac:dyDescent="0.3">
      <c r="A6" s="5" t="s">
        <v>17</v>
      </c>
      <c r="B6" s="2">
        <v>2</v>
      </c>
      <c r="C6" s="3" t="s">
        <v>2</v>
      </c>
      <c r="D6" s="2">
        <v>10</v>
      </c>
      <c r="E6" s="2">
        <f t="shared" si="0"/>
        <v>20</v>
      </c>
    </row>
    <row r="7" spans="1:5" x14ac:dyDescent="0.3">
      <c r="A7" s="5" t="s">
        <v>7</v>
      </c>
      <c r="B7" s="2">
        <v>8</v>
      </c>
      <c r="C7" s="3" t="s">
        <v>2</v>
      </c>
      <c r="D7" s="2">
        <v>16</v>
      </c>
      <c r="E7" s="2">
        <f t="shared" si="0"/>
        <v>128</v>
      </c>
    </row>
    <row r="8" spans="1:5" x14ac:dyDescent="0.3">
      <c r="A8" s="5" t="s">
        <v>8</v>
      </c>
      <c r="B8" s="2">
        <v>2</v>
      </c>
      <c r="C8" s="3" t="s">
        <v>2</v>
      </c>
      <c r="D8" s="2">
        <v>2.5</v>
      </c>
      <c r="E8" s="2">
        <f t="shared" si="0"/>
        <v>5</v>
      </c>
    </row>
    <row r="9" spans="1:5" x14ac:dyDescent="0.3">
      <c r="A9" s="5" t="s">
        <v>12</v>
      </c>
      <c r="B9" s="2">
        <v>1</v>
      </c>
      <c r="C9" s="4" t="s">
        <v>2</v>
      </c>
      <c r="D9" s="2">
        <v>9</v>
      </c>
      <c r="E9" s="2">
        <f t="shared" ref="E9" si="1">B9*D9</f>
        <v>9</v>
      </c>
    </row>
    <row r="10" spans="1:5" x14ac:dyDescent="0.3">
      <c r="A10" s="5" t="s">
        <v>13</v>
      </c>
      <c r="B10" s="2">
        <v>1</v>
      </c>
      <c r="C10" s="3" t="s">
        <v>2</v>
      </c>
      <c r="D10" s="2">
        <v>35</v>
      </c>
      <c r="E10" s="2">
        <f t="shared" si="0"/>
        <v>35</v>
      </c>
    </row>
    <row r="11" spans="1:5" x14ac:dyDescent="0.3">
      <c r="A11" s="5" t="s">
        <v>14</v>
      </c>
      <c r="B11" s="2">
        <v>1</v>
      </c>
      <c r="C11" s="3" t="s">
        <v>2</v>
      </c>
      <c r="D11" s="2">
        <v>5</v>
      </c>
      <c r="E11" s="2">
        <f t="shared" si="0"/>
        <v>5</v>
      </c>
    </row>
    <row r="12" spans="1:5" x14ac:dyDescent="0.3">
      <c r="A12" s="5" t="s">
        <v>16</v>
      </c>
      <c r="B12" s="2">
        <v>1</v>
      </c>
      <c r="C12" s="4" t="s">
        <v>2</v>
      </c>
      <c r="D12" s="2">
        <v>9</v>
      </c>
      <c r="E12" s="2">
        <f t="shared" si="0"/>
        <v>9</v>
      </c>
    </row>
    <row r="13" spans="1:5" x14ac:dyDescent="0.3">
      <c r="A13" s="5" t="s">
        <v>15</v>
      </c>
      <c r="B13" s="2">
        <v>4</v>
      </c>
      <c r="C13" s="4" t="s">
        <v>2</v>
      </c>
      <c r="D13" s="2">
        <v>0.75</v>
      </c>
      <c r="E13" s="2">
        <f>B13*D13</f>
        <v>3</v>
      </c>
    </row>
    <row r="14" spans="1:5" x14ac:dyDescent="0.3">
      <c r="A14" s="5" t="s">
        <v>9</v>
      </c>
      <c r="B14" s="2">
        <v>1</v>
      </c>
      <c r="C14" s="7"/>
      <c r="D14" s="2">
        <v>100</v>
      </c>
      <c r="E14" s="2">
        <f>B14*D14</f>
        <v>100</v>
      </c>
    </row>
    <row r="15" spans="1:5" x14ac:dyDescent="0.3">
      <c r="A15" s="6" t="s">
        <v>11</v>
      </c>
      <c r="B15" s="6"/>
      <c r="C15" s="6"/>
      <c r="D15" s="6"/>
      <c r="E15" s="5">
        <f>SUM(E2:E14)</f>
        <v>1450.5</v>
      </c>
    </row>
  </sheetData>
  <mergeCells count="1">
    <mergeCell ref="A15:D15"/>
  </mergeCells>
  <hyperlinks>
    <hyperlink ref="C4" r:id="rId1" xr:uid="{7EE0D6F2-56BE-49CE-9DBA-47BFDCA33129}"/>
    <hyperlink ref="C5" r:id="rId2" xr:uid="{74169D71-49EC-4D40-BA7A-607B01C284FE}"/>
    <hyperlink ref="C6" r:id="rId3" xr:uid="{C65DD72A-C7B9-4ACF-BA15-0D97F832ECE5}"/>
    <hyperlink ref="C8" r:id="rId4" xr:uid="{A2C31BB6-C045-45DE-9A27-6F54121B4039}"/>
    <hyperlink ref="C7" r:id="rId5" xr:uid="{A1F2F08F-E1A8-48C8-A4EA-B0313D0B83CB}"/>
    <hyperlink ref="C2" r:id="rId6" xr:uid="{4B920E02-895E-418D-8B3F-6DCAF6CE2F74}"/>
    <hyperlink ref="C10" r:id="rId7" xr:uid="{DD90078F-C2F4-4693-AA57-16D99C410315}"/>
    <hyperlink ref="C11" r:id="rId8" xr:uid="{FFF400F3-C783-4EBE-BA64-E312972E65D8}"/>
    <hyperlink ref="C9" r:id="rId9" xr:uid="{E3836095-043A-4E3D-9BFF-5A2EFDC53818}"/>
    <hyperlink ref="C13" r:id="rId10" xr:uid="{24B59830-9BDF-4C5B-A850-072260A349B4}"/>
    <hyperlink ref="C12" r:id="rId11" xr:uid="{EB757169-2D41-4F2D-9E2B-41E5B03E470F}"/>
    <hyperlink ref="C3" r:id="rId12" xr:uid="{9C442B2A-9E1D-406E-8389-A05DEBF517EE}"/>
  </hyperlinks>
  <pageMargins left="0.7" right="0.7" top="0.75" bottom="0.75" header="0.3" footer="0.3"/>
  <pageSetup paperSize="9" orientation="landscape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Supply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 Adel</dc:creator>
  <cp:lastModifiedBy>youssef boutros</cp:lastModifiedBy>
  <cp:lastPrinted>2026-05-28T13:49:03Z</cp:lastPrinted>
  <dcterms:created xsi:type="dcterms:W3CDTF">2015-06-05T18:17:20Z</dcterms:created>
  <dcterms:modified xsi:type="dcterms:W3CDTF">2026-05-28T13:51:36Z</dcterms:modified>
</cp:coreProperties>
</file>